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ersonalData\Captsone002D\fase 2\evidencias proyecto\Documentacion\"/>
    </mc:Choice>
  </mc:AlternateContent>
  <xr:revisionPtr revIDLastSave="0" documentId="13_ncr:1_{07B3F59A-EA5C-47AD-9B46-90B62B3E3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52" i="1"/>
  <c r="F49" i="1"/>
  <c r="F43" i="1"/>
  <c r="F40" i="1"/>
  <c r="F35" i="1"/>
  <c r="F31" i="1" s="1"/>
  <c r="F24" i="1"/>
  <c r="F21" i="1"/>
  <c r="F16" i="1"/>
  <c r="F5" i="1"/>
  <c r="F15" i="1" l="1"/>
  <c r="F14" i="1" s="1"/>
  <c r="F4" i="1"/>
</calcChain>
</file>

<file path=xl/sharedStrings.xml><?xml version="1.0" encoding="utf-8"?>
<sst xmlns="http://schemas.openxmlformats.org/spreadsheetml/2006/main" count="214" uniqueCount="110">
  <si>
    <t>N 3</t>
  </si>
  <si>
    <t>Avance</t>
  </si>
  <si>
    <t>Mes</t>
  </si>
  <si>
    <t>Agosto</t>
  </si>
  <si>
    <t>Septiembre</t>
  </si>
  <si>
    <t>Octubre</t>
  </si>
  <si>
    <t>Noviembre</t>
  </si>
  <si>
    <t>Diciembre</t>
  </si>
  <si>
    <t>ID</t>
  </si>
  <si>
    <t>Actividades</t>
  </si>
  <si>
    <t>Semana</t>
  </si>
  <si>
    <t>Fase 1: Planificación</t>
  </si>
  <si>
    <t>X</t>
  </si>
  <si>
    <t>Plan de gestión del proyecto</t>
  </si>
  <si>
    <t>1.1.1</t>
  </si>
  <si>
    <t>Definición de alcance y limitaciones</t>
  </si>
  <si>
    <t>1.1.2</t>
  </si>
  <si>
    <t>Desglose de requerimientos Funcionales y no funcionales</t>
  </si>
  <si>
    <t>1.1.3</t>
  </si>
  <si>
    <t>EDT</t>
  </si>
  <si>
    <t>Investigación</t>
  </si>
  <si>
    <t>Plan de gestión de cronograma</t>
  </si>
  <si>
    <t>1.3.1</t>
  </si>
  <si>
    <t>Cronograma del proyecto</t>
  </si>
  <si>
    <t>1.3.2</t>
  </si>
  <si>
    <t>Definición de actividades</t>
  </si>
  <si>
    <t>Fase 2: Ejecución del proyecto</t>
  </si>
  <si>
    <t>Diseño de solución</t>
  </si>
  <si>
    <t>2.1.1</t>
  </si>
  <si>
    <t>Diseño de arquitectura de software</t>
  </si>
  <si>
    <t>2.1.1.1</t>
  </si>
  <si>
    <t xml:space="preserve">Diagramas de arquitectura </t>
  </si>
  <si>
    <t>2.1.1.2</t>
  </si>
  <si>
    <t xml:space="preserve">Diseño de la base de datos operacional </t>
  </si>
  <si>
    <t>2.1.1.3</t>
  </si>
  <si>
    <t>Diseño del data Warehouse / silo de datos (Modelo dimensional)</t>
  </si>
  <si>
    <t>2.1.1.4</t>
  </si>
  <si>
    <t>Diseño de la API REST</t>
  </si>
  <si>
    <t>2.1.2</t>
  </si>
  <si>
    <t>Diseño del sistema de Inteligencia de Negocios</t>
  </si>
  <si>
    <t>2.1.2.1</t>
  </si>
  <si>
    <t>Diseño del esquema del Dashboard</t>
  </si>
  <si>
    <t>2.1.2.2</t>
  </si>
  <si>
    <t>Definición de KPIs y métricas</t>
  </si>
  <si>
    <t>2.1.3</t>
  </si>
  <si>
    <t>Diseño de Videojuego</t>
  </si>
  <si>
    <t>2.1.3.1</t>
  </si>
  <si>
    <t>Documento de Diseño de Juego (GDD)</t>
  </si>
  <si>
    <t>2.1.3.2</t>
  </si>
  <si>
    <t>Diseño de Mecánicas</t>
  </si>
  <si>
    <t>2.1.3.3</t>
  </si>
  <si>
    <t>Diseño Escenario 1</t>
  </si>
  <si>
    <t>2.1.3.4</t>
  </si>
  <si>
    <t>Diseño Escenario 2</t>
  </si>
  <si>
    <t>2.1.3.6</t>
  </si>
  <si>
    <t>Diseño de interfaces de Usuario UI/UX</t>
  </si>
  <si>
    <t>Desarrollo</t>
  </si>
  <si>
    <t>Desarrollo de Videojuego</t>
  </si>
  <si>
    <t>3.1.1</t>
  </si>
  <si>
    <t>Configuración del proyecto Unity</t>
  </si>
  <si>
    <t>3.1.2</t>
  </si>
  <si>
    <t>Gestor de Entradas</t>
  </si>
  <si>
    <t>3.1.3</t>
  </si>
  <si>
    <t>Escena de Login</t>
  </si>
  <si>
    <t>3.1.4</t>
  </si>
  <si>
    <t>Interfaz Gráfica</t>
  </si>
  <si>
    <t>3.1.5</t>
  </si>
  <si>
    <t>Escena de Juego 1</t>
  </si>
  <si>
    <t>3.1.6</t>
  </si>
  <si>
    <t>Escena de Juego 2</t>
  </si>
  <si>
    <t>3.1.8</t>
  </si>
  <si>
    <t>Escena Fin de Juego</t>
  </si>
  <si>
    <t>Integración de la API para autenticación y envío de datos</t>
  </si>
  <si>
    <t>Desarrollo de Base de Datos</t>
  </si>
  <si>
    <t>3.2.1</t>
  </si>
  <si>
    <t>Implementación de la base de datos Operacional SQL</t>
  </si>
  <si>
    <t>3.2.2</t>
  </si>
  <si>
    <t>Desarrollo de la API REST</t>
  </si>
  <si>
    <t>Desarrollo de aplicación Web</t>
  </si>
  <si>
    <t>3.3.1</t>
  </si>
  <si>
    <t>Módulo de Autenticacion y Seguridad</t>
  </si>
  <si>
    <t>3.3.2</t>
  </si>
  <si>
    <t>Layout y Diseño Navegación</t>
  </si>
  <si>
    <t>3.3.3</t>
  </si>
  <si>
    <t>Módulo Gestión de Usuarios</t>
  </si>
  <si>
    <t>3.3.5</t>
  </si>
  <si>
    <t>Implementar dashboard y reportería</t>
  </si>
  <si>
    <t>Testeo de Dashboard con los datos del Juego</t>
  </si>
  <si>
    <t>3.4.1</t>
  </si>
  <si>
    <t>Definir métricas para análisis</t>
  </si>
  <si>
    <t>3.4.2</t>
  </si>
  <si>
    <t>Diseño de gráficas para métricas</t>
  </si>
  <si>
    <t>Usuario</t>
  </si>
  <si>
    <t>-Login</t>
  </si>
  <si>
    <t>POST</t>
  </si>
  <si>
    <t>-Register</t>
  </si>
  <si>
    <t>Partida</t>
  </si>
  <si>
    <t>-Comenzar Partida</t>
  </si>
  <si>
    <t>-Terminar Partida</t>
  </si>
  <si>
    <t>PUT</t>
  </si>
  <si>
    <t>ETL</t>
  </si>
  <si>
    <t>-Comenzar Proceso</t>
  </si>
  <si>
    <t>3.1.7</t>
  </si>
  <si>
    <t>3.3.4</t>
  </si>
  <si>
    <t>Conceptualización de Módulo de Análisis</t>
  </si>
  <si>
    <t>Corrección de Bugs</t>
  </si>
  <si>
    <t>Testeo interno</t>
  </si>
  <si>
    <t>Correcciones de Bugs</t>
  </si>
  <si>
    <t>3.5.1</t>
  </si>
  <si>
    <t>3.5.2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</si>
</sst>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scheme val="minor"/>
    </font>
    <font>
      <b/>
      <sz val="10"/>
      <color theme="0"/>
      <name val="Arial"/>
      <scheme val="minor"/>
    </font>
    <font>
      <sz val="10"/>
      <name val="Arial"/>
    </font>
    <font>
      <b/>
      <sz val="10"/>
      <color rgb="FFFFFFFF"/>
      <name val="Arial"/>
    </font>
    <font>
      <sz val="10"/>
      <color theme="0"/>
      <name val="Arial"/>
    </font>
    <font>
      <b/>
      <sz val="12"/>
      <color rgb="FFFFFFFF"/>
      <name val="Arial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b/>
      <sz val="10"/>
      <color theme="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0000"/>
        <bgColor rgb="FFCC0000"/>
      </patternFill>
    </fill>
    <fill>
      <patternFill patternType="solid">
        <fgColor rgb="FF212121"/>
        <bgColor rgb="FF212121"/>
      </patternFill>
    </fill>
    <fill>
      <patternFill patternType="solid">
        <fgColor rgb="FFB4A7D6"/>
        <bgColor rgb="FFB4A7D6"/>
      </patternFill>
    </fill>
    <fill>
      <patternFill patternType="solid">
        <fgColor rgb="FF990000"/>
        <bgColor rgb="FF990000"/>
      </patternFill>
    </fill>
    <fill>
      <patternFill patternType="solid">
        <fgColor rgb="FFE06666"/>
        <bgColor rgb="FFE06666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medium">
        <color rgb="FFF3F3F3"/>
      </left>
      <right/>
      <top/>
      <bottom/>
      <diagonal/>
    </border>
    <border>
      <left/>
      <right style="medium">
        <color rgb="FFF3F3F3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5" fillId="4" borderId="0" xfId="0" applyFont="1" applyFill="1"/>
    <xf numFmtId="10" fontId="2" fillId="4" borderId="0" xfId="0" applyNumberFormat="1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6" fillId="5" borderId="0" xfId="0" applyFont="1" applyFill="1" applyAlignment="1">
      <alignment horizontal="right"/>
    </xf>
    <xf numFmtId="10" fontId="2" fillId="5" borderId="4" xfId="0" applyNumberFormat="1" applyFont="1" applyFill="1" applyBorder="1"/>
    <xf numFmtId="0" fontId="2" fillId="5" borderId="4" xfId="0" applyFont="1" applyFill="1" applyBorder="1"/>
    <xf numFmtId="0" fontId="8" fillId="5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9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0" xfId="0" applyFont="1" applyFill="1"/>
    <xf numFmtId="10" fontId="8" fillId="5" borderId="6" xfId="0" applyNumberFormat="1" applyFont="1" applyFill="1" applyBorder="1"/>
    <xf numFmtId="0" fontId="2" fillId="5" borderId="6" xfId="0" applyFont="1" applyFill="1" applyBorder="1"/>
    <xf numFmtId="0" fontId="8" fillId="5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10" fillId="5" borderId="0" xfId="0" applyFont="1" applyFill="1"/>
    <xf numFmtId="10" fontId="8" fillId="5" borderId="0" xfId="0" applyNumberFormat="1" applyFont="1" applyFill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10" fontId="8" fillId="5" borderId="7" xfId="0" applyNumberFormat="1" applyFont="1" applyFill="1" applyBorder="1"/>
    <xf numFmtId="0" fontId="2" fillId="5" borderId="7" xfId="0" applyFont="1" applyFill="1" applyBorder="1"/>
    <xf numFmtId="0" fontId="2" fillId="5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9" fillId="6" borderId="0" xfId="0" applyFont="1" applyFill="1" applyAlignment="1">
      <alignment horizontal="right"/>
    </xf>
    <xf numFmtId="10" fontId="8" fillId="6" borderId="0" xfId="0" applyNumberFormat="1" applyFont="1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9" fillId="7" borderId="0" xfId="0" applyFont="1" applyFill="1" applyAlignment="1">
      <alignment horizontal="right"/>
    </xf>
    <xf numFmtId="10" fontId="8" fillId="7" borderId="0" xfId="0" applyNumberFormat="1" applyFont="1" applyFill="1"/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9" fillId="3" borderId="0" xfId="0" applyFont="1" applyFill="1"/>
    <xf numFmtId="10" fontId="2" fillId="3" borderId="7" xfId="0" applyNumberFormat="1" applyFont="1" applyFill="1" applyBorder="1"/>
    <xf numFmtId="0" fontId="2" fillId="3" borderId="7" xfId="0" applyFont="1" applyFill="1" applyBorder="1"/>
    <xf numFmtId="0" fontId="2" fillId="3" borderId="7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0" fillId="7" borderId="0" xfId="0" applyFont="1" applyFill="1"/>
    <xf numFmtId="0" fontId="9" fillId="7" borderId="0" xfId="0" applyFont="1" applyFill="1"/>
    <xf numFmtId="0" fontId="10" fillId="3" borderId="0" xfId="0" applyFont="1" applyFill="1"/>
    <xf numFmtId="10" fontId="8" fillId="3" borderId="7" xfId="0" applyNumberFormat="1" applyFont="1" applyFill="1" applyBorder="1"/>
    <xf numFmtId="0" fontId="5" fillId="8" borderId="0" xfId="0" applyFont="1" applyFill="1" applyAlignment="1">
      <alignment horizontal="right"/>
    </xf>
    <xf numFmtId="10" fontId="8" fillId="8" borderId="0" xfId="0" applyNumberFormat="1" applyFont="1" applyFill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9" fillId="9" borderId="0" xfId="0" applyFont="1" applyFill="1" applyAlignment="1">
      <alignment horizontal="right"/>
    </xf>
    <xf numFmtId="0" fontId="5" fillId="9" borderId="0" xfId="0" applyFont="1" applyFill="1" applyAlignment="1">
      <alignment horizontal="right"/>
    </xf>
    <xf numFmtId="0" fontId="9" fillId="9" borderId="0" xfId="0" applyFont="1" applyFill="1"/>
    <xf numFmtId="10" fontId="8" fillId="9" borderId="0" xfId="0" applyNumberFormat="1" applyFont="1" applyFill="1"/>
    <xf numFmtId="0" fontId="2" fillId="9" borderId="0" xfId="0" applyFont="1" applyFill="1"/>
    <xf numFmtId="0" fontId="2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9" fillId="10" borderId="0" xfId="0" applyFont="1" applyFill="1" applyAlignment="1">
      <alignment horizontal="right"/>
    </xf>
    <xf numFmtId="0" fontId="10" fillId="10" borderId="0" xfId="0" applyFont="1" applyFill="1"/>
    <xf numFmtId="0" fontId="9" fillId="10" borderId="0" xfId="0" applyFont="1" applyFill="1"/>
    <xf numFmtId="10" fontId="8" fillId="10" borderId="0" xfId="0" applyNumberFormat="1" applyFont="1" applyFill="1"/>
    <xf numFmtId="0" fontId="2" fillId="10" borderId="0" xfId="0" applyFont="1" applyFill="1"/>
    <xf numFmtId="0" fontId="2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10" fontId="2" fillId="10" borderId="0" xfId="0" applyNumberFormat="1" applyFont="1" applyFill="1"/>
    <xf numFmtId="10" fontId="8" fillId="9" borderId="7" xfId="0" applyNumberFormat="1" applyFont="1" applyFill="1" applyBorder="1"/>
    <xf numFmtId="0" fontId="2" fillId="9" borderId="7" xfId="0" applyFont="1" applyFill="1" applyBorder="1"/>
    <xf numFmtId="0" fontId="2" fillId="9" borderId="7" xfId="0" applyFont="1" applyFill="1" applyBorder="1" applyAlignment="1">
      <alignment horizontal="center"/>
    </xf>
    <xf numFmtId="0" fontId="8" fillId="9" borderId="7" xfId="0" applyFont="1" applyFill="1" applyBorder="1" applyAlignment="1">
      <alignment horizontal="center"/>
    </xf>
    <xf numFmtId="0" fontId="5" fillId="10" borderId="0" xfId="0" applyFont="1" applyFill="1" applyAlignment="1">
      <alignment horizontal="right"/>
    </xf>
    <xf numFmtId="0" fontId="11" fillId="11" borderId="0" xfId="0" applyFont="1" applyFill="1" applyAlignment="1">
      <alignment horizontal="right"/>
    </xf>
    <xf numFmtId="10" fontId="8" fillId="11" borderId="0" xfId="0" applyNumberFormat="1" applyFont="1" applyFill="1"/>
    <xf numFmtId="0" fontId="1" fillId="11" borderId="0" xfId="0" applyFont="1" applyFill="1"/>
    <xf numFmtId="0" fontId="8" fillId="11" borderId="0" xfId="0" applyFont="1" applyFill="1"/>
    <xf numFmtId="0" fontId="9" fillId="11" borderId="0" xfId="0" applyFont="1" applyFill="1" applyAlignment="1">
      <alignment horizontal="right"/>
    </xf>
    <xf numFmtId="0" fontId="10" fillId="11" borderId="0" xfId="0" applyFont="1" applyFill="1"/>
    <xf numFmtId="0" fontId="1" fillId="0" borderId="0" xfId="0" applyFont="1"/>
    <xf numFmtId="0" fontId="9" fillId="11" borderId="0" xfId="0" applyFont="1" applyFill="1"/>
    <xf numFmtId="0" fontId="0" fillId="0" borderId="0" xfId="0"/>
    <xf numFmtId="0" fontId="5" fillId="11" borderId="0" xfId="0" applyFont="1" applyFill="1"/>
    <xf numFmtId="0" fontId="9" fillId="10" borderId="0" xfId="0" applyFont="1" applyFill="1"/>
    <xf numFmtId="0" fontId="9" fillId="9" borderId="0" xfId="0" applyFont="1" applyFill="1"/>
    <xf numFmtId="0" fontId="5" fillId="7" borderId="0" xfId="0" applyFont="1" applyFill="1"/>
    <xf numFmtId="0" fontId="9" fillId="3" borderId="0" xfId="0" applyFont="1" applyFill="1"/>
    <xf numFmtId="0" fontId="9" fillId="7" borderId="0" xfId="0" applyFont="1" applyFill="1"/>
    <xf numFmtId="0" fontId="5" fillId="8" borderId="0" xfId="0" applyFont="1" applyFill="1"/>
    <xf numFmtId="0" fontId="5" fillId="5" borderId="0" xfId="0" applyFont="1" applyFill="1"/>
    <xf numFmtId="0" fontId="7" fillId="6" borderId="0" xfId="0" applyFont="1" applyFill="1"/>
    <xf numFmtId="0" fontId="5" fillId="4" borderId="0" xfId="0" applyFont="1" applyFill="1"/>
    <xf numFmtId="0" fontId="7" fillId="5" borderId="3" xfId="0" applyFont="1" applyFill="1" applyBorder="1"/>
    <xf numFmtId="0" fontId="4" fillId="0" borderId="4" xfId="0" applyFont="1" applyBorder="1"/>
    <xf numFmtId="0" fontId="3" fillId="4" borderId="1" xfId="0" applyFont="1" applyFill="1" applyBorder="1" applyAlignment="1">
      <alignment horizontal="center"/>
    </xf>
    <xf numFmtId="0" fontId="4" fillId="0" borderId="2" xfId="0" applyFont="1" applyBorder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Y59"/>
  <sheetViews>
    <sheetView tabSelected="1" workbookViewId="0">
      <selection activeCell="F43" sqref="F43"/>
    </sheetView>
  </sheetViews>
  <sheetFormatPr defaultColWidth="12.5703125" defaultRowHeight="15.75" customHeight="1" outlineLevelRow="1" x14ac:dyDescent="0.2"/>
  <cols>
    <col min="1" max="1" width="6.140625" customWidth="1"/>
    <col min="2" max="4" width="3" customWidth="1"/>
    <col min="5" max="5" width="46.42578125" customWidth="1"/>
    <col min="6" max="6" width="8.28515625" customWidth="1"/>
    <col min="7" max="7" width="9.28515625" customWidth="1"/>
    <col min="8" max="25" width="4.42578125" customWidth="1"/>
  </cols>
  <sheetData>
    <row r="2" spans="1:25" ht="12.75" x14ac:dyDescent="0.2"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 t="s">
        <v>0</v>
      </c>
    </row>
    <row r="3" spans="1:25" ht="12.75" x14ac:dyDescent="0.2">
      <c r="A3" s="3"/>
      <c r="B3" s="3"/>
      <c r="C3" s="3"/>
      <c r="D3" s="3"/>
      <c r="E3" s="3"/>
      <c r="F3" s="3" t="s">
        <v>1</v>
      </c>
      <c r="G3" s="3" t="s">
        <v>2</v>
      </c>
      <c r="H3" s="96" t="s">
        <v>3</v>
      </c>
      <c r="I3" s="83"/>
      <c r="J3" s="97"/>
      <c r="K3" s="98" t="s">
        <v>4</v>
      </c>
      <c r="L3" s="83"/>
      <c r="M3" s="83"/>
      <c r="N3" s="97"/>
      <c r="O3" s="98" t="s">
        <v>5</v>
      </c>
      <c r="P3" s="83"/>
      <c r="Q3" s="83"/>
      <c r="R3" s="83"/>
      <c r="S3" s="97"/>
      <c r="T3" s="98" t="s">
        <v>6</v>
      </c>
      <c r="U3" s="83"/>
      <c r="V3" s="83"/>
      <c r="W3" s="97"/>
      <c r="X3" s="98" t="s">
        <v>7</v>
      </c>
      <c r="Y3" s="83"/>
    </row>
    <row r="4" spans="1:25" ht="12.75" x14ac:dyDescent="0.2">
      <c r="A4" s="4" t="s">
        <v>8</v>
      </c>
      <c r="B4" s="93" t="s">
        <v>9</v>
      </c>
      <c r="C4" s="83"/>
      <c r="D4" s="83"/>
      <c r="E4" s="83"/>
      <c r="F4" s="5" t="e">
        <f>AVERAGE(F5,F14,F30,#REF!,F52,F56)</f>
        <v>#REF!</v>
      </c>
      <c r="G4" s="3" t="s">
        <v>10</v>
      </c>
      <c r="H4" s="6">
        <v>1</v>
      </c>
      <c r="I4" s="3">
        <v>2</v>
      </c>
      <c r="J4" s="7">
        <v>3</v>
      </c>
      <c r="K4" s="3">
        <v>4</v>
      </c>
      <c r="L4" s="3">
        <v>5</v>
      </c>
      <c r="M4" s="3">
        <v>6</v>
      </c>
      <c r="N4" s="7">
        <v>7</v>
      </c>
      <c r="O4" s="3">
        <v>8</v>
      </c>
      <c r="P4" s="3">
        <v>9</v>
      </c>
      <c r="Q4" s="3">
        <v>10</v>
      </c>
      <c r="R4" s="3">
        <v>11</v>
      </c>
      <c r="S4" s="7">
        <v>12</v>
      </c>
      <c r="T4" s="3">
        <v>13</v>
      </c>
      <c r="U4" s="3">
        <v>14</v>
      </c>
      <c r="V4" s="3">
        <v>15</v>
      </c>
      <c r="W4" s="7">
        <v>16</v>
      </c>
      <c r="X4" s="3">
        <v>17</v>
      </c>
      <c r="Y4" s="3">
        <v>18</v>
      </c>
    </row>
    <row r="5" spans="1:25" ht="15.75" customHeight="1" x14ac:dyDescent="0.25">
      <c r="A5" s="8">
        <v>1</v>
      </c>
      <c r="B5" s="94" t="s">
        <v>11</v>
      </c>
      <c r="C5" s="95"/>
      <c r="D5" s="95"/>
      <c r="E5" s="95"/>
      <c r="F5" s="9">
        <f>AVERAGE(F6:F13)</f>
        <v>1</v>
      </c>
      <c r="G5" s="10"/>
      <c r="H5" s="11" t="s">
        <v>12</v>
      </c>
      <c r="I5" s="11" t="s">
        <v>12</v>
      </c>
      <c r="J5" s="11" t="s">
        <v>12</v>
      </c>
      <c r="K5" s="11" t="s">
        <v>12</v>
      </c>
      <c r="L5" s="11" t="s">
        <v>12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</row>
    <row r="6" spans="1:25" ht="12.75" outlineLevel="1" x14ac:dyDescent="0.2">
      <c r="A6" s="14">
        <v>1.1000000000000001</v>
      </c>
      <c r="B6" s="15"/>
      <c r="C6" s="91" t="s">
        <v>13</v>
      </c>
      <c r="D6" s="83"/>
      <c r="E6" s="83"/>
      <c r="F6" s="17">
        <v>1</v>
      </c>
      <c r="G6" s="18"/>
      <c r="H6" s="19" t="s">
        <v>12</v>
      </c>
      <c r="I6" s="19" t="s">
        <v>12</v>
      </c>
      <c r="J6" s="19" t="s">
        <v>12</v>
      </c>
      <c r="K6" s="19" t="s">
        <v>12</v>
      </c>
      <c r="L6" s="19" t="s">
        <v>12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 spans="1:25" ht="12.75" outlineLevel="1" x14ac:dyDescent="0.2">
      <c r="A7" s="14" t="s">
        <v>14</v>
      </c>
      <c r="B7" s="21"/>
      <c r="C7" s="21"/>
      <c r="D7" s="91" t="s">
        <v>15</v>
      </c>
      <c r="E7" s="83"/>
      <c r="F7" s="22">
        <v>1</v>
      </c>
      <c r="G7" s="23"/>
      <c r="H7" s="24"/>
      <c r="I7" s="25" t="s">
        <v>12</v>
      </c>
      <c r="J7" s="25" t="s">
        <v>12</v>
      </c>
      <c r="K7" s="2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ht="12.75" outlineLevel="1" x14ac:dyDescent="0.2">
      <c r="A8" s="14" t="s">
        <v>16</v>
      </c>
      <c r="B8" s="21"/>
      <c r="C8" s="21"/>
      <c r="D8" s="91" t="s">
        <v>17</v>
      </c>
      <c r="E8" s="83"/>
      <c r="F8" s="22">
        <v>1</v>
      </c>
      <c r="G8" s="23"/>
      <c r="H8" s="24"/>
      <c r="I8" s="24"/>
      <c r="J8" s="25" t="s">
        <v>12</v>
      </c>
      <c r="K8" s="25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ht="12.75" outlineLevel="1" x14ac:dyDescent="0.2">
      <c r="A9" s="14" t="s">
        <v>18</v>
      </c>
      <c r="B9" s="21"/>
      <c r="C9" s="21"/>
      <c r="D9" s="91" t="s">
        <v>19</v>
      </c>
      <c r="E9" s="83"/>
      <c r="F9" s="22">
        <v>1</v>
      </c>
      <c r="G9" s="23"/>
      <c r="H9" s="24"/>
      <c r="I9" s="24"/>
      <c r="J9" s="25"/>
      <c r="K9" s="25" t="s">
        <v>12</v>
      </c>
      <c r="L9" s="25" t="s">
        <v>12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ht="12.75" outlineLevel="1" x14ac:dyDescent="0.2">
      <c r="A10" s="14">
        <v>1.2</v>
      </c>
      <c r="B10" s="15"/>
      <c r="C10" s="16" t="s">
        <v>20</v>
      </c>
      <c r="D10" s="21"/>
      <c r="E10" s="21"/>
      <c r="F10" s="22">
        <v>1</v>
      </c>
      <c r="G10" s="23"/>
      <c r="H10" s="24"/>
      <c r="I10" s="25" t="s">
        <v>12</v>
      </c>
      <c r="J10" s="25" t="s">
        <v>12</v>
      </c>
      <c r="K10" s="25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ht="12.75" outlineLevel="1" x14ac:dyDescent="0.2">
      <c r="A11" s="14">
        <v>1.3</v>
      </c>
      <c r="B11" s="15"/>
      <c r="C11" s="91" t="s">
        <v>21</v>
      </c>
      <c r="D11" s="83"/>
      <c r="E11" s="83"/>
      <c r="F11" s="26">
        <v>1</v>
      </c>
      <c r="G11" s="27"/>
      <c r="H11" s="28"/>
      <c r="I11" s="28"/>
      <c r="J11" s="28"/>
      <c r="K11" s="29" t="s">
        <v>12</v>
      </c>
      <c r="L11" s="29" t="s">
        <v>12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2.75" x14ac:dyDescent="0.2">
      <c r="A12" s="14" t="s">
        <v>22</v>
      </c>
      <c r="B12" s="21"/>
      <c r="C12" s="21"/>
      <c r="D12" s="91" t="s">
        <v>23</v>
      </c>
      <c r="E12" s="83"/>
      <c r="F12" s="22">
        <v>1</v>
      </c>
      <c r="G12" s="23"/>
      <c r="H12" s="24"/>
      <c r="I12" s="24"/>
      <c r="J12" s="24"/>
      <c r="K12" s="25" t="s">
        <v>12</v>
      </c>
      <c r="L12" s="25" t="s">
        <v>12</v>
      </c>
      <c r="M12" s="25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ht="12.75" outlineLevel="1" x14ac:dyDescent="0.2">
      <c r="A13" s="14" t="s">
        <v>24</v>
      </c>
      <c r="B13" s="21"/>
      <c r="C13" s="21"/>
      <c r="D13" s="91" t="s">
        <v>25</v>
      </c>
      <c r="E13" s="83"/>
      <c r="F13" s="22">
        <v>1</v>
      </c>
      <c r="G13" s="23"/>
      <c r="H13" s="24"/>
      <c r="I13" s="24"/>
      <c r="J13" s="24"/>
      <c r="K13" s="25" t="s">
        <v>12</v>
      </c>
      <c r="L13" s="25" t="s">
        <v>12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ht="15.75" customHeight="1" outlineLevel="1" x14ac:dyDescent="0.25">
      <c r="A14" s="30">
        <v>2</v>
      </c>
      <c r="B14" s="92" t="s">
        <v>26</v>
      </c>
      <c r="C14" s="83"/>
      <c r="D14" s="83"/>
      <c r="E14" s="83"/>
      <c r="F14" s="31">
        <f>F15</f>
        <v>1</v>
      </c>
      <c r="G14" s="32"/>
      <c r="H14" s="33"/>
      <c r="I14" s="33"/>
      <c r="J14" s="33"/>
      <c r="K14" s="33"/>
      <c r="L14" s="34"/>
      <c r="M14" s="34" t="s">
        <v>12</v>
      </c>
      <c r="N14" s="34" t="s">
        <v>12</v>
      </c>
      <c r="O14" s="34" t="s">
        <v>12</v>
      </c>
      <c r="P14" s="34" t="s">
        <v>12</v>
      </c>
      <c r="Q14" s="34"/>
      <c r="R14" s="33"/>
      <c r="S14" s="33"/>
      <c r="T14" s="33"/>
      <c r="U14" s="33"/>
      <c r="V14" s="33"/>
      <c r="W14" s="33"/>
      <c r="X14" s="33"/>
      <c r="Y14" s="33"/>
    </row>
    <row r="15" spans="1:25" ht="12.75" outlineLevel="1" x14ac:dyDescent="0.2">
      <c r="A15" s="35">
        <v>2.1</v>
      </c>
      <c r="B15" s="87" t="s">
        <v>27</v>
      </c>
      <c r="C15" s="83"/>
      <c r="D15" s="83"/>
      <c r="E15" s="83"/>
      <c r="F15" s="36">
        <f>AVERAGE(F16,F21,F24)</f>
        <v>1</v>
      </c>
      <c r="G15" s="37"/>
      <c r="H15" s="38"/>
      <c r="I15" s="38"/>
      <c r="J15" s="38"/>
      <c r="K15" s="38"/>
      <c r="L15" s="39"/>
      <c r="M15" s="39" t="s">
        <v>12</v>
      </c>
      <c r="N15" s="39" t="s">
        <v>12</v>
      </c>
      <c r="O15" s="39" t="s">
        <v>12</v>
      </c>
      <c r="P15" s="39" t="s">
        <v>12</v>
      </c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2.75" x14ac:dyDescent="0.2">
      <c r="A16" s="35" t="s">
        <v>28</v>
      </c>
      <c r="B16" s="40"/>
      <c r="C16" s="88" t="s">
        <v>29</v>
      </c>
      <c r="D16" s="83"/>
      <c r="E16" s="83"/>
      <c r="F16" s="42">
        <f>AVERAGE(F17:F20)</f>
        <v>1</v>
      </c>
      <c r="G16" s="43"/>
      <c r="H16" s="44"/>
      <c r="I16" s="44"/>
      <c r="J16" s="44"/>
      <c r="K16" s="44"/>
      <c r="L16" s="44"/>
      <c r="M16" s="45" t="s">
        <v>12</v>
      </c>
      <c r="N16" s="45" t="s">
        <v>12</v>
      </c>
      <c r="O16" s="45"/>
      <c r="P16" s="45"/>
      <c r="Q16" s="45"/>
      <c r="R16" s="45"/>
      <c r="S16" s="45"/>
      <c r="T16" s="45"/>
      <c r="U16" s="45"/>
      <c r="V16" s="45"/>
      <c r="W16" s="44"/>
      <c r="X16" s="44"/>
      <c r="Y16" s="44"/>
    </row>
    <row r="17" spans="1:25" ht="12.75" outlineLevel="1" x14ac:dyDescent="0.2">
      <c r="A17" s="35" t="s">
        <v>30</v>
      </c>
      <c r="B17" s="46"/>
      <c r="C17" s="46"/>
      <c r="D17" s="89" t="s">
        <v>31</v>
      </c>
      <c r="E17" s="83"/>
      <c r="F17" s="36">
        <v>1</v>
      </c>
      <c r="G17" s="37"/>
      <c r="H17" s="38"/>
      <c r="I17" s="38"/>
      <c r="J17" s="38"/>
      <c r="K17" s="38"/>
      <c r="L17" s="38"/>
      <c r="M17" s="39" t="s">
        <v>12</v>
      </c>
      <c r="N17" s="39"/>
      <c r="O17" s="39"/>
      <c r="P17" s="39"/>
      <c r="Q17" s="39"/>
      <c r="R17" s="39"/>
      <c r="S17" s="39"/>
      <c r="T17" s="39"/>
      <c r="U17" s="38"/>
      <c r="V17" s="38"/>
      <c r="W17" s="38"/>
      <c r="X17" s="38"/>
      <c r="Y17" s="38"/>
    </row>
    <row r="18" spans="1:25" ht="12.75" outlineLevel="1" x14ac:dyDescent="0.2">
      <c r="A18" s="35" t="s">
        <v>32</v>
      </c>
      <c r="B18" s="46"/>
      <c r="C18" s="46"/>
      <c r="D18" s="47" t="s">
        <v>33</v>
      </c>
      <c r="E18" s="46"/>
      <c r="F18" s="36">
        <v>1</v>
      </c>
      <c r="G18" s="37"/>
      <c r="H18" s="38"/>
      <c r="I18" s="38"/>
      <c r="J18" s="38"/>
      <c r="K18" s="38"/>
      <c r="L18" s="38"/>
      <c r="M18" s="39" t="s">
        <v>12</v>
      </c>
      <c r="N18" s="39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2.75" outlineLevel="1" x14ac:dyDescent="0.2">
      <c r="A19" s="35" t="s">
        <v>34</v>
      </c>
      <c r="B19" s="46"/>
      <c r="C19" s="46"/>
      <c r="D19" s="47" t="s">
        <v>35</v>
      </c>
      <c r="E19" s="46"/>
      <c r="F19" s="36">
        <v>1</v>
      </c>
      <c r="G19" s="37"/>
      <c r="H19" s="38"/>
      <c r="I19" s="38"/>
      <c r="J19" s="38"/>
      <c r="K19" s="38"/>
      <c r="L19" s="38"/>
      <c r="M19" s="38"/>
      <c r="N19" s="39" t="s">
        <v>12</v>
      </c>
      <c r="O19" s="39"/>
      <c r="P19" s="39"/>
      <c r="Q19" s="39"/>
      <c r="R19" s="38"/>
      <c r="S19" s="38"/>
      <c r="T19" s="38"/>
      <c r="U19" s="38"/>
      <c r="V19" s="38"/>
      <c r="W19" s="38"/>
      <c r="X19" s="38"/>
      <c r="Y19" s="38"/>
    </row>
    <row r="20" spans="1:25" ht="12.75" outlineLevel="1" x14ac:dyDescent="0.2">
      <c r="A20" s="35" t="s">
        <v>36</v>
      </c>
      <c r="B20" s="46"/>
      <c r="C20" s="46"/>
      <c r="D20" s="47" t="s">
        <v>37</v>
      </c>
      <c r="E20" s="46"/>
      <c r="F20" s="36">
        <v>1</v>
      </c>
      <c r="G20" s="37"/>
      <c r="H20" s="38"/>
      <c r="I20" s="38"/>
      <c r="J20" s="38"/>
      <c r="K20" s="38"/>
      <c r="L20" s="38"/>
      <c r="M20" s="38"/>
      <c r="N20" s="39" t="s">
        <v>12</v>
      </c>
      <c r="O20" s="38"/>
      <c r="P20" s="38"/>
      <c r="Q20" s="38"/>
      <c r="R20" s="39"/>
      <c r="S20" s="39"/>
      <c r="T20" s="38"/>
      <c r="U20" s="38"/>
      <c r="V20" s="38"/>
      <c r="W20" s="38"/>
      <c r="X20" s="38"/>
      <c r="Y20" s="38"/>
    </row>
    <row r="21" spans="1:25" ht="12.75" outlineLevel="1" x14ac:dyDescent="0.2">
      <c r="A21" s="35" t="s">
        <v>38</v>
      </c>
      <c r="B21" s="40"/>
      <c r="C21" s="41" t="s">
        <v>39</v>
      </c>
      <c r="D21" s="48"/>
      <c r="E21" s="48"/>
      <c r="F21" s="49">
        <f>AVERAGE(F22:F23)</f>
        <v>1</v>
      </c>
      <c r="G21" s="43"/>
      <c r="H21" s="44"/>
      <c r="I21" s="44"/>
      <c r="J21" s="44"/>
      <c r="K21" s="44"/>
      <c r="L21" s="44"/>
      <c r="M21" s="45" t="s">
        <v>12</v>
      </c>
      <c r="N21" s="45" t="s">
        <v>12</v>
      </c>
      <c r="O21" s="45"/>
      <c r="P21" s="44"/>
      <c r="Q21" s="44"/>
      <c r="R21" s="44"/>
      <c r="S21" s="44"/>
      <c r="T21" s="45"/>
      <c r="U21" s="45"/>
      <c r="V21" s="44"/>
      <c r="W21" s="44"/>
      <c r="X21" s="44"/>
      <c r="Y21" s="44"/>
    </row>
    <row r="22" spans="1:25" ht="12.75" outlineLevel="1" x14ac:dyDescent="0.2">
      <c r="A22" s="35" t="s">
        <v>40</v>
      </c>
      <c r="B22" s="46"/>
      <c r="C22" s="46"/>
      <c r="D22" s="47" t="s">
        <v>41</v>
      </c>
      <c r="E22" s="46"/>
      <c r="F22" s="36">
        <v>1</v>
      </c>
      <c r="G22" s="37"/>
      <c r="H22" s="38"/>
      <c r="I22" s="38"/>
      <c r="J22" s="38"/>
      <c r="K22" s="38"/>
      <c r="L22" s="38"/>
      <c r="M22" s="38"/>
      <c r="N22" s="39" t="s">
        <v>12</v>
      </c>
      <c r="O22" s="39"/>
      <c r="P22" s="38"/>
      <c r="Q22" s="38"/>
      <c r="R22" s="38"/>
      <c r="S22" s="38"/>
      <c r="T22" s="38"/>
      <c r="U22" s="39"/>
      <c r="V22" s="39"/>
      <c r="W22" s="38"/>
      <c r="X22" s="38"/>
      <c r="Y22" s="38"/>
    </row>
    <row r="23" spans="1:25" ht="12.75" outlineLevel="1" x14ac:dyDescent="0.2">
      <c r="A23" s="35" t="s">
        <v>42</v>
      </c>
      <c r="B23" s="46"/>
      <c r="C23" s="46"/>
      <c r="D23" s="47" t="s">
        <v>43</v>
      </c>
      <c r="E23" s="46"/>
      <c r="F23" s="36">
        <v>1</v>
      </c>
      <c r="G23" s="37"/>
      <c r="H23" s="38"/>
      <c r="I23" s="38"/>
      <c r="J23" s="38"/>
      <c r="K23" s="38"/>
      <c r="L23" s="38"/>
      <c r="M23" s="39" t="s">
        <v>12</v>
      </c>
      <c r="N23" s="39"/>
      <c r="O23" s="39"/>
      <c r="P23" s="38"/>
      <c r="Q23" s="38"/>
      <c r="R23" s="38"/>
      <c r="S23" s="38"/>
      <c r="T23" s="38"/>
      <c r="U23" s="39"/>
      <c r="V23" s="39"/>
      <c r="W23" s="38"/>
      <c r="X23" s="38"/>
      <c r="Y23" s="38"/>
    </row>
    <row r="24" spans="1:25" ht="12.75" x14ac:dyDescent="0.2">
      <c r="A24" s="35" t="s">
        <v>44</v>
      </c>
      <c r="B24" s="40"/>
      <c r="C24" s="41" t="s">
        <v>45</v>
      </c>
      <c r="D24" s="48"/>
      <c r="E24" s="48"/>
      <c r="F24" s="42">
        <f>AVERAGE(F25:F29)</f>
        <v>1</v>
      </c>
      <c r="G24" s="43"/>
      <c r="H24" s="44"/>
      <c r="I24" s="44"/>
      <c r="J24" s="44"/>
      <c r="K24" s="44"/>
      <c r="L24" s="44"/>
      <c r="M24" s="45" t="s">
        <v>12</v>
      </c>
      <c r="N24" s="45" t="s">
        <v>12</v>
      </c>
      <c r="O24" s="45" t="s">
        <v>12</v>
      </c>
      <c r="P24" s="45" t="s">
        <v>12</v>
      </c>
      <c r="Q24" s="45"/>
      <c r="R24" s="44"/>
      <c r="S24" s="44"/>
      <c r="T24" s="44"/>
      <c r="U24" s="45"/>
      <c r="V24" s="45"/>
      <c r="W24" s="45"/>
      <c r="X24" s="45"/>
      <c r="Y24" s="45"/>
    </row>
    <row r="25" spans="1:25" ht="12.75" outlineLevel="1" x14ac:dyDescent="0.2">
      <c r="A25" s="35" t="s">
        <v>46</v>
      </c>
      <c r="B25" s="46"/>
      <c r="C25" s="46"/>
      <c r="D25" s="47" t="s">
        <v>47</v>
      </c>
      <c r="E25" s="46"/>
      <c r="F25" s="36">
        <v>1</v>
      </c>
      <c r="G25" s="37"/>
      <c r="H25" s="38"/>
      <c r="I25" s="38"/>
      <c r="J25" s="38"/>
      <c r="K25" s="38"/>
      <c r="L25" s="38"/>
      <c r="M25" s="38"/>
      <c r="N25" s="38"/>
      <c r="O25" s="39" t="s">
        <v>12</v>
      </c>
      <c r="P25" s="39" t="s">
        <v>12</v>
      </c>
      <c r="Q25" s="39"/>
      <c r="R25" s="38"/>
      <c r="S25" s="38"/>
      <c r="T25" s="38"/>
      <c r="U25" s="39"/>
      <c r="V25" s="39"/>
      <c r="W25" s="38"/>
      <c r="X25" s="38"/>
      <c r="Y25" s="38"/>
    </row>
    <row r="26" spans="1:25" ht="12.75" outlineLevel="1" x14ac:dyDescent="0.2">
      <c r="A26" s="35" t="s">
        <v>48</v>
      </c>
      <c r="B26" s="46"/>
      <c r="C26" s="46"/>
      <c r="D26" s="47" t="s">
        <v>49</v>
      </c>
      <c r="E26" s="46"/>
      <c r="F26" s="36">
        <v>1</v>
      </c>
      <c r="G26" s="37"/>
      <c r="H26" s="38"/>
      <c r="I26" s="38"/>
      <c r="J26" s="38"/>
      <c r="K26" s="38"/>
      <c r="L26" s="38"/>
      <c r="M26" s="38"/>
      <c r="N26" s="38"/>
      <c r="O26" s="39" t="s">
        <v>12</v>
      </c>
      <c r="P26" s="39"/>
      <c r="Q26" s="38"/>
      <c r="R26" s="38"/>
      <c r="S26" s="38"/>
      <c r="T26" s="38"/>
      <c r="U26" s="39"/>
      <c r="V26" s="39"/>
      <c r="W26" s="38"/>
      <c r="X26" s="38"/>
      <c r="Y26" s="38"/>
    </row>
    <row r="27" spans="1:25" ht="12.75" outlineLevel="1" x14ac:dyDescent="0.2">
      <c r="A27" s="35" t="s">
        <v>50</v>
      </c>
      <c r="B27" s="46"/>
      <c r="C27" s="46"/>
      <c r="D27" s="47" t="s">
        <v>51</v>
      </c>
      <c r="E27" s="46"/>
      <c r="F27" s="36">
        <v>1</v>
      </c>
      <c r="G27" s="37"/>
      <c r="H27" s="38"/>
      <c r="I27" s="38"/>
      <c r="J27" s="38"/>
      <c r="K27" s="38"/>
      <c r="L27" s="38"/>
      <c r="M27" s="39" t="s">
        <v>12</v>
      </c>
      <c r="N27" s="39"/>
      <c r="O27" s="39" t="s">
        <v>12</v>
      </c>
      <c r="P27" s="39"/>
      <c r="Q27" s="38"/>
      <c r="R27" s="38"/>
      <c r="S27" s="38"/>
      <c r="T27" s="38"/>
      <c r="U27" s="39"/>
      <c r="V27" s="39"/>
      <c r="W27" s="38"/>
      <c r="X27" s="38"/>
      <c r="Y27" s="38"/>
    </row>
    <row r="28" spans="1:25" ht="12.75" outlineLevel="1" x14ac:dyDescent="0.2">
      <c r="A28" s="35" t="s">
        <v>52</v>
      </c>
      <c r="B28" s="46"/>
      <c r="C28" s="46"/>
      <c r="D28" s="47" t="s">
        <v>53</v>
      </c>
      <c r="E28" s="46"/>
      <c r="F28" s="36">
        <v>1</v>
      </c>
      <c r="G28" s="37"/>
      <c r="H28" s="38"/>
      <c r="I28" s="38"/>
      <c r="J28" s="38"/>
      <c r="K28" s="38"/>
      <c r="L28" s="38"/>
      <c r="M28" s="39" t="s">
        <v>12</v>
      </c>
      <c r="N28" s="39"/>
      <c r="O28" s="38"/>
      <c r="P28" s="39" t="s">
        <v>12</v>
      </c>
      <c r="Q28" s="38"/>
      <c r="R28" s="38"/>
      <c r="S28" s="38"/>
      <c r="T28" s="38"/>
      <c r="U28" s="39"/>
      <c r="V28" s="39"/>
      <c r="W28" s="38"/>
      <c r="X28" s="38"/>
      <c r="Y28" s="38"/>
    </row>
    <row r="29" spans="1:25" ht="12.75" outlineLevel="1" x14ac:dyDescent="0.2">
      <c r="A29" s="35" t="s">
        <v>54</v>
      </c>
      <c r="B29" s="46"/>
      <c r="C29" s="46"/>
      <c r="D29" s="47" t="s">
        <v>55</v>
      </c>
      <c r="E29" s="46"/>
      <c r="F29" s="36">
        <v>1</v>
      </c>
      <c r="G29" s="37"/>
      <c r="H29" s="38"/>
      <c r="I29" s="38"/>
      <c r="J29" s="38"/>
      <c r="K29" s="38"/>
      <c r="L29" s="38"/>
      <c r="M29" s="39" t="s">
        <v>12</v>
      </c>
      <c r="N29" s="39"/>
      <c r="O29" s="39" t="s">
        <v>12</v>
      </c>
      <c r="P29" s="39" t="s">
        <v>12</v>
      </c>
      <c r="Q29" s="38"/>
      <c r="R29" s="38"/>
      <c r="S29" s="38"/>
      <c r="T29" s="38"/>
      <c r="U29" s="38"/>
      <c r="V29" s="38"/>
      <c r="W29" s="39"/>
      <c r="X29" s="38"/>
      <c r="Y29" s="38"/>
    </row>
    <row r="30" spans="1:25" ht="12.75" outlineLevel="1" x14ac:dyDescent="0.2">
      <c r="A30" s="50">
        <v>3</v>
      </c>
      <c r="B30" s="90" t="s">
        <v>56</v>
      </c>
      <c r="C30" s="83"/>
      <c r="D30" s="83"/>
      <c r="E30" s="83"/>
      <c r="F30" s="51">
        <f>AVERAGE(F31,F40,F49,F52)</f>
        <v>0.6</v>
      </c>
      <c r="G30" s="52"/>
      <c r="H30" s="53"/>
      <c r="I30" s="53"/>
      <c r="J30" s="53"/>
      <c r="K30" s="53"/>
      <c r="L30" s="53"/>
      <c r="M30" s="53"/>
      <c r="N30" s="53"/>
      <c r="O30" s="53"/>
      <c r="P30" s="54" t="s">
        <v>12</v>
      </c>
      <c r="Q30" s="54" t="s">
        <v>12</v>
      </c>
      <c r="R30" s="54" t="s">
        <v>12</v>
      </c>
      <c r="S30" s="54" t="s">
        <v>12</v>
      </c>
      <c r="T30" s="54"/>
      <c r="U30" s="54"/>
      <c r="V30" s="54"/>
      <c r="W30" s="54"/>
      <c r="X30" s="54"/>
      <c r="Y30" s="53"/>
    </row>
    <row r="31" spans="1:25" ht="12.75" outlineLevel="1" x14ac:dyDescent="0.2">
      <c r="A31" s="55">
        <v>3.1</v>
      </c>
      <c r="B31" s="56"/>
      <c r="C31" s="86" t="s">
        <v>57</v>
      </c>
      <c r="D31" s="83"/>
      <c r="E31" s="83"/>
      <c r="F31" s="58">
        <f>AVERAGE(F32:F39)</f>
        <v>1</v>
      </c>
      <c r="G31" s="59"/>
      <c r="H31" s="60"/>
      <c r="I31" s="60"/>
      <c r="J31" s="60"/>
      <c r="K31" s="60"/>
      <c r="L31" s="60"/>
      <c r="M31" s="60"/>
      <c r="N31" s="60"/>
      <c r="O31" s="60"/>
      <c r="P31" s="61" t="s">
        <v>12</v>
      </c>
      <c r="Q31" s="61" t="s">
        <v>12</v>
      </c>
      <c r="R31" s="61" t="s">
        <v>12</v>
      </c>
      <c r="S31" s="61" t="s">
        <v>12</v>
      </c>
      <c r="T31" s="61"/>
      <c r="U31" s="61"/>
      <c r="V31" s="61"/>
      <c r="W31" s="60"/>
      <c r="X31" s="61"/>
      <c r="Y31" s="61"/>
    </row>
    <row r="32" spans="1:25" ht="12.75" x14ac:dyDescent="0.2">
      <c r="A32" s="62" t="s">
        <v>58</v>
      </c>
      <c r="B32" s="63"/>
      <c r="C32" s="63"/>
      <c r="D32" s="64" t="s">
        <v>59</v>
      </c>
      <c r="E32" s="63"/>
      <c r="F32" s="65">
        <v>1</v>
      </c>
      <c r="G32" s="66"/>
      <c r="H32" s="67"/>
      <c r="I32" s="67"/>
      <c r="J32" s="67"/>
      <c r="K32" s="67"/>
      <c r="L32" s="67"/>
      <c r="M32" s="67"/>
      <c r="N32" s="67"/>
      <c r="O32" s="67"/>
      <c r="P32" s="68" t="s">
        <v>12</v>
      </c>
      <c r="Q32" s="68"/>
      <c r="R32" s="67"/>
      <c r="S32" s="67"/>
      <c r="T32" s="67"/>
      <c r="U32" s="67"/>
      <c r="V32" s="67"/>
      <c r="W32" s="67"/>
      <c r="X32" s="68"/>
      <c r="Y32" s="68"/>
    </row>
    <row r="33" spans="1:25" ht="12.75" outlineLevel="1" x14ac:dyDescent="0.2">
      <c r="A33" s="62" t="s">
        <v>60</v>
      </c>
      <c r="B33" s="63"/>
      <c r="C33" s="63"/>
      <c r="D33" s="85" t="s">
        <v>61</v>
      </c>
      <c r="E33" s="83"/>
      <c r="F33" s="65">
        <v>1</v>
      </c>
      <c r="G33" s="66"/>
      <c r="H33" s="67"/>
      <c r="I33" s="67"/>
      <c r="J33" s="67"/>
      <c r="K33" s="67"/>
      <c r="L33" s="67"/>
      <c r="M33" s="67"/>
      <c r="N33" s="67"/>
      <c r="O33" s="67"/>
      <c r="P33" s="68" t="s">
        <v>12</v>
      </c>
      <c r="Q33" s="68"/>
      <c r="R33" s="67"/>
      <c r="S33" s="67"/>
      <c r="T33" s="67"/>
      <c r="U33" s="67"/>
      <c r="V33" s="67"/>
      <c r="W33" s="67"/>
      <c r="X33" s="68"/>
      <c r="Y33" s="68"/>
    </row>
    <row r="34" spans="1:25" ht="12.75" outlineLevel="1" x14ac:dyDescent="0.2">
      <c r="A34" s="62" t="s">
        <v>62</v>
      </c>
      <c r="B34" s="63"/>
      <c r="C34" s="63"/>
      <c r="D34" s="64" t="s">
        <v>63</v>
      </c>
      <c r="E34" s="63"/>
      <c r="F34" s="65">
        <v>1</v>
      </c>
      <c r="G34" s="66"/>
      <c r="H34" s="67"/>
      <c r="I34" s="67"/>
      <c r="J34" s="67"/>
      <c r="K34" s="67"/>
      <c r="L34" s="67"/>
      <c r="M34" s="67"/>
      <c r="N34" s="67"/>
      <c r="O34" s="67"/>
      <c r="P34" s="68" t="s">
        <v>12</v>
      </c>
      <c r="Q34" s="68"/>
      <c r="R34" s="67"/>
      <c r="S34" s="67"/>
      <c r="T34" s="67"/>
      <c r="U34" s="67"/>
      <c r="V34" s="67"/>
      <c r="W34" s="67"/>
      <c r="X34" s="68"/>
      <c r="Y34" s="68"/>
    </row>
    <row r="35" spans="1:25" ht="12.75" x14ac:dyDescent="0.2">
      <c r="A35" s="62" t="s">
        <v>64</v>
      </c>
      <c r="B35" s="63"/>
      <c r="C35" s="63"/>
      <c r="D35" s="64" t="s">
        <v>65</v>
      </c>
      <c r="E35" s="63"/>
      <c r="F35" s="69">
        <f>AVERAGE(F36)</f>
        <v>1</v>
      </c>
      <c r="G35" s="66"/>
      <c r="H35" s="67"/>
      <c r="I35" s="67"/>
      <c r="J35" s="67"/>
      <c r="K35" s="67"/>
      <c r="L35" s="67"/>
      <c r="M35" s="67"/>
      <c r="N35" s="67"/>
      <c r="O35" s="67"/>
      <c r="P35" s="67"/>
      <c r="Q35" s="68" t="s">
        <v>12</v>
      </c>
      <c r="R35" s="68" t="s">
        <v>12</v>
      </c>
      <c r="S35" s="68" t="s">
        <v>12</v>
      </c>
      <c r="T35" s="68"/>
      <c r="U35" s="67"/>
      <c r="V35" s="67"/>
      <c r="W35" s="67"/>
      <c r="X35" s="68"/>
      <c r="Y35" s="68"/>
    </row>
    <row r="36" spans="1:25" ht="12.75" x14ac:dyDescent="0.2">
      <c r="A36" s="62" t="s">
        <v>66</v>
      </c>
      <c r="B36" s="63"/>
      <c r="C36" s="63"/>
      <c r="D36" s="64" t="s">
        <v>67</v>
      </c>
      <c r="E36" s="63"/>
      <c r="F36" s="65">
        <v>1</v>
      </c>
      <c r="G36" s="66"/>
      <c r="H36" s="67"/>
      <c r="I36" s="67"/>
      <c r="J36" s="67"/>
      <c r="K36" s="67"/>
      <c r="L36" s="67"/>
      <c r="M36" s="67"/>
      <c r="N36" s="67"/>
      <c r="O36" s="67"/>
      <c r="P36" s="67"/>
      <c r="Q36" s="68" t="s">
        <v>12</v>
      </c>
      <c r="R36" s="68" t="s">
        <v>12</v>
      </c>
      <c r="S36" s="68" t="s">
        <v>12</v>
      </c>
      <c r="T36" s="68"/>
      <c r="U36" s="68"/>
      <c r="V36" s="67"/>
      <c r="W36" s="67"/>
      <c r="X36" s="68"/>
      <c r="Y36" s="68"/>
    </row>
    <row r="37" spans="1:25" ht="12.75" x14ac:dyDescent="0.2">
      <c r="A37" s="62" t="s">
        <v>68</v>
      </c>
      <c r="B37" s="63"/>
      <c r="C37" s="63"/>
      <c r="D37" s="64" t="s">
        <v>69</v>
      </c>
      <c r="E37" s="63"/>
      <c r="F37" s="65">
        <v>1</v>
      </c>
      <c r="G37" s="66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 t="s">
        <v>12</v>
      </c>
      <c r="S37" s="68" t="s">
        <v>12</v>
      </c>
      <c r="T37" s="68"/>
      <c r="U37" s="68"/>
      <c r="V37" s="67"/>
      <c r="W37" s="67"/>
      <c r="X37" s="68"/>
      <c r="Y37" s="68"/>
    </row>
    <row r="38" spans="1:25" ht="12.75" x14ac:dyDescent="0.2">
      <c r="A38" s="62" t="s">
        <v>102</v>
      </c>
      <c r="B38" s="63"/>
      <c r="C38" s="63"/>
      <c r="D38" s="64" t="s">
        <v>71</v>
      </c>
      <c r="E38" s="63"/>
      <c r="F38" s="65">
        <v>1</v>
      </c>
      <c r="G38" s="66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8" t="s">
        <v>12</v>
      </c>
      <c r="T38" s="68"/>
      <c r="U38" s="67"/>
      <c r="V38" s="67"/>
      <c r="W38" s="67"/>
      <c r="X38" s="68"/>
      <c r="Y38" s="68"/>
    </row>
    <row r="39" spans="1:25" ht="12.75" x14ac:dyDescent="0.2">
      <c r="A39" s="62" t="s">
        <v>70</v>
      </c>
      <c r="B39" s="63"/>
      <c r="C39" s="63"/>
      <c r="D39" s="64" t="s">
        <v>72</v>
      </c>
      <c r="E39" s="63"/>
      <c r="F39" s="65">
        <v>1</v>
      </c>
      <c r="G39" s="66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 t="s">
        <v>12</v>
      </c>
      <c r="S39" s="67" t="s">
        <v>12</v>
      </c>
      <c r="T39" s="68"/>
      <c r="U39" s="68"/>
      <c r="V39" s="68"/>
      <c r="W39" s="67"/>
      <c r="X39" s="68"/>
      <c r="Y39" s="68"/>
    </row>
    <row r="40" spans="1:25" ht="12.75" x14ac:dyDescent="0.2">
      <c r="A40" s="55">
        <v>3.2</v>
      </c>
      <c r="B40" s="56"/>
      <c r="C40" s="86" t="s">
        <v>73</v>
      </c>
      <c r="D40" s="83"/>
      <c r="E40" s="83"/>
      <c r="F40" s="70">
        <f>AVERAGE(F41:F42)</f>
        <v>1</v>
      </c>
      <c r="G40" s="71"/>
      <c r="H40" s="72"/>
      <c r="I40" s="72"/>
      <c r="J40" s="72"/>
      <c r="K40" s="72"/>
      <c r="L40" s="72"/>
      <c r="M40" s="72"/>
      <c r="N40" s="72"/>
      <c r="O40" s="72"/>
      <c r="P40" s="72"/>
      <c r="Q40" s="73" t="s">
        <v>12</v>
      </c>
      <c r="R40" s="73" t="s">
        <v>12</v>
      </c>
      <c r="S40" s="73"/>
      <c r="T40" s="73"/>
      <c r="U40" s="72"/>
      <c r="V40" s="72"/>
      <c r="W40" s="72"/>
      <c r="X40" s="73"/>
      <c r="Y40" s="73"/>
    </row>
    <row r="41" spans="1:25" ht="12.75" x14ac:dyDescent="0.2">
      <c r="A41" s="62" t="s">
        <v>74</v>
      </c>
      <c r="B41" s="63"/>
      <c r="C41" s="63"/>
      <c r="D41" s="64" t="s">
        <v>75</v>
      </c>
      <c r="E41" s="63"/>
      <c r="F41" s="65">
        <v>1</v>
      </c>
      <c r="G41" s="66"/>
      <c r="H41" s="67"/>
      <c r="I41" s="67"/>
      <c r="J41" s="67"/>
      <c r="K41" s="67"/>
      <c r="L41" s="67"/>
      <c r="M41" s="67"/>
      <c r="N41" s="67"/>
      <c r="O41" s="67"/>
      <c r="P41" s="67"/>
      <c r="Q41" s="68" t="s">
        <v>12</v>
      </c>
      <c r="R41" s="67"/>
      <c r="S41" s="67"/>
      <c r="T41" s="67"/>
      <c r="U41" s="67"/>
      <c r="V41" s="67"/>
      <c r="W41" s="67"/>
      <c r="X41" s="68"/>
      <c r="Y41" s="68"/>
    </row>
    <row r="42" spans="1:25" ht="12.75" x14ac:dyDescent="0.2">
      <c r="A42" s="62" t="s">
        <v>76</v>
      </c>
      <c r="B42" s="63"/>
      <c r="C42" s="63"/>
      <c r="D42" s="64" t="s">
        <v>77</v>
      </c>
      <c r="E42" s="63"/>
      <c r="F42" s="65">
        <v>1</v>
      </c>
      <c r="G42" s="66"/>
      <c r="H42" s="67"/>
      <c r="I42" s="67"/>
      <c r="J42" s="67"/>
      <c r="K42" s="67"/>
      <c r="L42" s="67"/>
      <c r="M42" s="67"/>
      <c r="N42" s="67"/>
      <c r="O42" s="67"/>
      <c r="P42" s="67"/>
      <c r="Q42" s="68" t="s">
        <v>12</v>
      </c>
      <c r="R42" s="68" t="s">
        <v>12</v>
      </c>
      <c r="S42" s="68"/>
      <c r="T42" s="67"/>
      <c r="U42" s="67"/>
      <c r="V42" s="67"/>
      <c r="W42" s="67"/>
      <c r="X42" s="68"/>
      <c r="Y42" s="68"/>
    </row>
    <row r="43" spans="1:25" ht="12.75" x14ac:dyDescent="0.2">
      <c r="A43" s="55">
        <v>3.3</v>
      </c>
      <c r="B43" s="56"/>
      <c r="C43" s="57" t="s">
        <v>78</v>
      </c>
      <c r="D43" s="57"/>
      <c r="E43" s="57"/>
      <c r="F43" s="58">
        <f>AVERAGE(F44:F47)</f>
        <v>0.92500000000000004</v>
      </c>
      <c r="G43" s="59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1" t="s">
        <v>12</v>
      </c>
      <c r="S43" s="60" t="s">
        <v>12</v>
      </c>
      <c r="T43" s="61" t="s">
        <v>12</v>
      </c>
      <c r="U43" s="61" t="s">
        <v>12</v>
      </c>
      <c r="V43" s="61"/>
      <c r="W43" s="60"/>
      <c r="X43" s="61"/>
      <c r="Y43" s="61"/>
    </row>
    <row r="44" spans="1:25" ht="12.75" x14ac:dyDescent="0.2">
      <c r="A44" s="62" t="s">
        <v>79</v>
      </c>
      <c r="B44" s="74"/>
      <c r="C44" s="64"/>
      <c r="D44" s="64" t="s">
        <v>80</v>
      </c>
      <c r="E44" s="64"/>
      <c r="F44" s="65">
        <v>1</v>
      </c>
      <c r="G44" s="66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 t="s">
        <v>12</v>
      </c>
      <c r="S44" s="68"/>
      <c r="T44" s="68"/>
      <c r="U44" s="68"/>
      <c r="V44" s="68"/>
      <c r="W44" s="67"/>
      <c r="X44" s="68"/>
      <c r="Y44" s="68"/>
    </row>
    <row r="45" spans="1:25" ht="12.75" x14ac:dyDescent="0.2">
      <c r="A45" s="62" t="s">
        <v>81</v>
      </c>
      <c r="B45" s="74"/>
      <c r="C45" s="64"/>
      <c r="D45" s="64" t="s">
        <v>82</v>
      </c>
      <c r="E45" s="64"/>
      <c r="F45" s="65">
        <v>1</v>
      </c>
      <c r="G45" s="66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 t="s">
        <v>12</v>
      </c>
      <c r="S45" s="68" t="s">
        <v>12</v>
      </c>
      <c r="T45" s="68"/>
      <c r="U45" s="68"/>
      <c r="V45" s="68"/>
      <c r="W45" s="67"/>
      <c r="X45" s="68"/>
      <c r="Y45" s="68"/>
    </row>
    <row r="46" spans="1:25" ht="12.75" x14ac:dyDescent="0.2">
      <c r="A46" s="62" t="s">
        <v>83</v>
      </c>
      <c r="B46" s="74"/>
      <c r="C46" s="64"/>
      <c r="D46" s="64" t="s">
        <v>84</v>
      </c>
      <c r="E46" s="64"/>
      <c r="F46" s="65">
        <v>1</v>
      </c>
      <c r="G46" s="66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8" t="s">
        <v>12</v>
      </c>
      <c r="T46" s="68"/>
      <c r="U46" s="68"/>
      <c r="V46" s="68"/>
      <c r="W46" s="67"/>
      <c r="X46" s="68"/>
      <c r="Y46" s="68"/>
    </row>
    <row r="47" spans="1:25" ht="12.75" x14ac:dyDescent="0.2">
      <c r="A47" s="62" t="s">
        <v>103</v>
      </c>
      <c r="B47" s="74"/>
      <c r="C47" s="64"/>
      <c r="D47" s="64" t="s">
        <v>86</v>
      </c>
      <c r="E47" s="64"/>
      <c r="F47" s="65">
        <v>0.7</v>
      </c>
      <c r="G47" s="66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8" t="s">
        <v>12</v>
      </c>
      <c r="U47" s="68" t="s">
        <v>12</v>
      </c>
      <c r="V47" s="68"/>
      <c r="W47" s="67"/>
      <c r="X47" s="68"/>
      <c r="Y47" s="68"/>
    </row>
    <row r="48" spans="1:25" ht="12.75" x14ac:dyDescent="0.2">
      <c r="A48" s="62" t="s">
        <v>85</v>
      </c>
      <c r="B48" s="74"/>
      <c r="C48" s="64"/>
      <c r="D48" s="64" t="s">
        <v>87</v>
      </c>
      <c r="E48" s="64"/>
      <c r="F48" s="65">
        <v>0.7</v>
      </c>
      <c r="G48" s="66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8"/>
      <c r="U48" s="68" t="s">
        <v>12</v>
      </c>
      <c r="V48" s="68"/>
      <c r="W48" s="67"/>
      <c r="X48" s="68"/>
      <c r="Y48" s="68"/>
    </row>
    <row r="49" spans="1:25" ht="12.75" x14ac:dyDescent="0.2">
      <c r="A49" s="55">
        <v>3.4</v>
      </c>
      <c r="B49" s="56"/>
      <c r="C49" s="86" t="s">
        <v>104</v>
      </c>
      <c r="D49" s="83"/>
      <c r="E49" s="83"/>
      <c r="F49" s="70">
        <f>AVERAGE(F50:F51)</f>
        <v>0.4</v>
      </c>
      <c r="G49" s="71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3" t="s">
        <v>12</v>
      </c>
      <c r="U49" s="73" t="s">
        <v>12</v>
      </c>
      <c r="V49" s="73"/>
      <c r="W49" s="72"/>
      <c r="X49" s="73"/>
      <c r="Y49" s="73"/>
    </row>
    <row r="50" spans="1:25" ht="12.75" x14ac:dyDescent="0.2">
      <c r="A50" s="62" t="s">
        <v>88</v>
      </c>
      <c r="B50" s="63"/>
      <c r="C50" s="63"/>
      <c r="D50" s="64" t="s">
        <v>89</v>
      </c>
      <c r="E50" s="63"/>
      <c r="F50" s="69">
        <v>0.8</v>
      </c>
      <c r="G50" s="66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8" t="s">
        <v>12</v>
      </c>
      <c r="U50" s="67" t="s">
        <v>12</v>
      </c>
      <c r="V50" s="67"/>
      <c r="W50" s="67"/>
      <c r="X50" s="68"/>
      <c r="Y50" s="68"/>
    </row>
    <row r="51" spans="1:25" ht="12.75" x14ac:dyDescent="0.2">
      <c r="A51" s="62" t="s">
        <v>90</v>
      </c>
      <c r="B51" s="63"/>
      <c r="C51" s="63"/>
      <c r="D51" s="64" t="s">
        <v>91</v>
      </c>
      <c r="E51" s="63"/>
      <c r="F51" s="65">
        <v>0</v>
      </c>
      <c r="G51" s="66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8" t="s">
        <v>12</v>
      </c>
      <c r="U51" s="68" t="s">
        <v>12</v>
      </c>
      <c r="V51" s="68"/>
      <c r="W51" s="67"/>
      <c r="X51" s="68"/>
      <c r="Y51" s="68"/>
    </row>
    <row r="52" spans="1:25" ht="12.75" x14ac:dyDescent="0.2">
      <c r="A52" s="55">
        <v>3.5</v>
      </c>
      <c r="B52" s="56"/>
      <c r="C52" s="86" t="s">
        <v>105</v>
      </c>
      <c r="D52" s="83"/>
      <c r="E52" s="83"/>
      <c r="F52" s="70">
        <f>AVERAGE(F53:F54)</f>
        <v>0</v>
      </c>
      <c r="G52" s="71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3"/>
      <c r="U52" s="73"/>
      <c r="V52" s="73"/>
      <c r="W52" s="72"/>
      <c r="X52" s="73"/>
      <c r="Y52" s="73"/>
    </row>
    <row r="53" spans="1:25" ht="12.75" x14ac:dyDescent="0.2">
      <c r="A53" s="62" t="s">
        <v>108</v>
      </c>
      <c r="B53" s="63"/>
      <c r="C53" s="63"/>
      <c r="D53" s="64" t="s">
        <v>106</v>
      </c>
      <c r="E53" s="63"/>
      <c r="F53" s="69">
        <v>0</v>
      </c>
      <c r="G53" s="66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8"/>
      <c r="U53" s="67"/>
      <c r="V53" s="67" t="s">
        <v>12</v>
      </c>
      <c r="W53" s="67" t="s">
        <v>12</v>
      </c>
      <c r="X53" s="68"/>
      <c r="Y53" s="68"/>
    </row>
    <row r="54" spans="1:25" ht="12.75" x14ac:dyDescent="0.2">
      <c r="A54" s="62" t="s">
        <v>109</v>
      </c>
      <c r="B54" s="63"/>
      <c r="C54" s="63"/>
      <c r="D54" s="64" t="s">
        <v>107</v>
      </c>
      <c r="E54" s="63"/>
      <c r="F54" s="65">
        <v>0</v>
      </c>
      <c r="G54" s="66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8"/>
      <c r="U54" s="68"/>
      <c r="V54" s="68"/>
      <c r="W54" s="67" t="s">
        <v>12</v>
      </c>
      <c r="X54" s="68" t="s">
        <v>12</v>
      </c>
      <c r="Y54" s="68"/>
    </row>
    <row r="55" spans="1:25" ht="12.75" x14ac:dyDescent="0.2">
      <c r="A55" s="79"/>
      <c r="B55" s="80"/>
      <c r="C55" s="82"/>
      <c r="D55" s="83"/>
      <c r="E55" s="83"/>
      <c r="F55" s="76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8"/>
      <c r="V55" s="77"/>
      <c r="W55" s="78"/>
      <c r="X55" s="78"/>
      <c r="Y55" s="77"/>
    </row>
    <row r="56" spans="1:25" ht="12.75" x14ac:dyDescent="0.2">
      <c r="A56" s="75"/>
      <c r="B56" s="84"/>
      <c r="C56" s="83"/>
      <c r="D56" s="83"/>
      <c r="E56" s="83"/>
      <c r="F56" s="76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8"/>
      <c r="X56" s="78"/>
      <c r="Y56" s="78"/>
    </row>
    <row r="57" spans="1:25" ht="12.75" x14ac:dyDescent="0.2">
      <c r="A57" s="79"/>
      <c r="B57" s="80"/>
      <c r="C57" s="82"/>
      <c r="D57" s="83"/>
      <c r="E57" s="83"/>
      <c r="F57" s="76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8"/>
      <c r="X57" s="78"/>
      <c r="Y57" s="77"/>
    </row>
    <row r="58" spans="1:25" ht="12.75" x14ac:dyDescent="0.2">
      <c r="A58" s="79"/>
      <c r="B58" s="80"/>
      <c r="C58" s="82"/>
      <c r="D58" s="83"/>
      <c r="E58" s="83"/>
      <c r="F58" s="76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8"/>
      <c r="X58" s="78"/>
      <c r="Y58" s="77"/>
    </row>
    <row r="59" spans="1:25" ht="12.75" x14ac:dyDescent="0.2">
      <c r="A59" s="79"/>
      <c r="B59" s="80"/>
      <c r="C59" s="82"/>
      <c r="D59" s="83"/>
      <c r="E59" s="83"/>
      <c r="F59" s="76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8"/>
      <c r="Y59" s="78"/>
    </row>
  </sheetData>
  <mergeCells count="29">
    <mergeCell ref="H3:J3"/>
    <mergeCell ref="K3:N3"/>
    <mergeCell ref="O3:S3"/>
    <mergeCell ref="T3:W3"/>
    <mergeCell ref="X3:Y3"/>
    <mergeCell ref="B4:E4"/>
    <mergeCell ref="B5:E5"/>
    <mergeCell ref="C6:E6"/>
    <mergeCell ref="D7:E7"/>
    <mergeCell ref="D8:E8"/>
    <mergeCell ref="D9:E9"/>
    <mergeCell ref="C11:E11"/>
    <mergeCell ref="D12:E12"/>
    <mergeCell ref="D13:E13"/>
    <mergeCell ref="B14:E14"/>
    <mergeCell ref="D33:E33"/>
    <mergeCell ref="C40:E40"/>
    <mergeCell ref="C49:E49"/>
    <mergeCell ref="B15:E15"/>
    <mergeCell ref="C16:E16"/>
    <mergeCell ref="D17:E17"/>
    <mergeCell ref="B30:E30"/>
    <mergeCell ref="C31:E31"/>
    <mergeCell ref="C58:E58"/>
    <mergeCell ref="C59:E59"/>
    <mergeCell ref="C55:E55"/>
    <mergeCell ref="B56:E56"/>
    <mergeCell ref="C57:E57"/>
    <mergeCell ref="C52:E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4:C13"/>
  <sheetViews>
    <sheetView workbookViewId="0"/>
  </sheetViews>
  <sheetFormatPr defaultColWidth="12.5703125" defaultRowHeight="15.75" customHeight="1" x14ac:dyDescent="0.2"/>
  <cols>
    <col min="2" max="2" width="15.85546875" customWidth="1"/>
  </cols>
  <sheetData>
    <row r="4" spans="2:3" x14ac:dyDescent="0.2">
      <c r="B4" s="81" t="s">
        <v>92</v>
      </c>
    </row>
    <row r="5" spans="2:3" x14ac:dyDescent="0.2">
      <c r="B5" s="81" t="s">
        <v>93</v>
      </c>
      <c r="C5" s="81" t="s">
        <v>94</v>
      </c>
    </row>
    <row r="6" spans="2:3" x14ac:dyDescent="0.2">
      <c r="B6" s="81" t="s">
        <v>95</v>
      </c>
    </row>
    <row r="8" spans="2:3" x14ac:dyDescent="0.2">
      <c r="B8" s="81" t="s">
        <v>96</v>
      </c>
    </row>
    <row r="9" spans="2:3" x14ac:dyDescent="0.2">
      <c r="B9" s="81" t="s">
        <v>97</v>
      </c>
      <c r="C9" s="81" t="s">
        <v>94</v>
      </c>
    </row>
    <row r="10" spans="2:3" x14ac:dyDescent="0.2">
      <c r="B10" s="81" t="s">
        <v>98</v>
      </c>
      <c r="C10" s="81" t="s">
        <v>99</v>
      </c>
    </row>
    <row r="12" spans="2:3" x14ac:dyDescent="0.2">
      <c r="B12" s="81" t="s">
        <v>100</v>
      </c>
    </row>
    <row r="13" spans="2:3" x14ac:dyDescent="0.2">
      <c r="B13" s="81" t="s">
        <v>101</v>
      </c>
      <c r="C13" s="8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 Bornhardt</cp:lastModifiedBy>
  <dcterms:modified xsi:type="dcterms:W3CDTF">2025-11-17T22:34:39Z</dcterms:modified>
</cp:coreProperties>
</file>