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928" documentId="8_{2EFDF332-31E9-4C74-A6B5-E695634C1C45}" xr6:coauthVersionLast="47" xr6:coauthVersionMax="47" xr10:uidLastSave="{3D93CE2E-1000-4C78-88DB-05459F5F8A6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<sst xmlns="http://schemas.openxmlformats.org/spreadsheetml/2006/main" count="163" uniqueCount="65">
  <si>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</si>
  <si>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</si>
  <si>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</si>
  <si>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</si>
  <si>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CHRISTOPH BORNHARDT</t>
  </si>
  <si>
    <t>JOAN JARA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</si>
  <si>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</si>
  <si>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</si>
  <si>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</si>
  <si>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</si>
  <si>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</si>
  <si>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</si>
  <si>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</si>
  <si>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</si>
  <si>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</si>
  <si>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</si>
  <si>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Logro incipiente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</si>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</sst>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50" zoomScale="120" zoomScaleNormal="120" workbookViewId="0">
      <selection activeCell="C69" sqref="C69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4.8</v>
      </c>
      <c r="D4" s="37">
        <f>C60</f>
        <v>4.8</v>
      </c>
      <c r="E4" s="36">
        <f>C4*C$2+D4*D$2</f>
        <v>4.8</v>
      </c>
    </row>
    <row r="5" spans="1:11" ht="14.45">
      <c r="A5" s="3">
        <v>2</v>
      </c>
      <c r="B5" s="16" t="s">
        <v>5</v>
      </c>
      <c r="C5" s="31">
        <f>C34</f>
        <v>4</v>
      </c>
      <c r="D5" s="37">
        <f>C73</f>
        <v>4.2</v>
      </c>
      <c r="E5" s="36">
        <f t="shared" ref="E5:E6" si="0">C5*C$2+D5*D$2</f>
        <v>4.0599999999999996</v>
      </c>
    </row>
    <row r="6" spans="1:11" ht="14.45">
      <c r="A6" s="3">
        <v>3</v>
      </c>
      <c r="B6" s="16"/>
      <c r="C6" s="31">
        <f>C47</f>
        <v>5.2</v>
      </c>
      <c r="D6" s="37">
        <f>C86</f>
        <v>5.2</v>
      </c>
      <c r="E6" s="36">
        <f t="shared" si="0"/>
        <v>5.1999999999999993</v>
      </c>
    </row>
    <row r="11" spans="1:11" ht="18" outlineLevel="1">
      <c r="A11" s="43" t="s">
        <v>6</v>
      </c>
      <c r="B11" s="11" t="str">
        <f>B4</f>
        <v>CHRISTOPH BORNHARDT</v>
      </c>
      <c r="C11" s="40" t="s">
        <v>7</v>
      </c>
      <c r="D11" s="41" t="s">
        <v>8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9</v>
      </c>
      <c r="C12" s="55"/>
      <c r="D12" s="41" t="s">
        <v>10</v>
      </c>
      <c r="E12" s="53"/>
      <c r="F12" s="41" t="s">
        <v>11</v>
      </c>
      <c r="G12" s="53"/>
      <c r="H12" s="42" t="s">
        <v>12</v>
      </c>
      <c r="I12" s="53"/>
      <c r="J12" s="41" t="s">
        <v>13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>X</v>
      </c>
      <c r="G13" s="12">
        <f>IF(F13="X",60*0.15,"")</f>
        <v>9</v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11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11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10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10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14</v>
      </c>
      <c r="C20" s="22">
        <f>E20+G20+I20+K20</f>
        <v>70</v>
      </c>
      <c r="D20" s="13"/>
      <c r="E20" s="13">
        <f>SUM(E13:E19)</f>
        <v>25</v>
      </c>
      <c r="F20" s="13"/>
      <c r="G20" s="13">
        <f>SUM(G13:G19)</f>
        <v>45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15</v>
      </c>
      <c r="C21" s="14">
        <f>VLOOKUP(C20,ESCALA_IEP!A2:B202,2,FALSE)</f>
        <v>4.8</v>
      </c>
    </row>
    <row r="22" spans="1:11" ht="15.75" customHeight="1"/>
    <row r="23" spans="1:11" ht="15.75" customHeight="1"/>
    <row r="24" spans="1:11" ht="24" customHeight="1">
      <c r="A24" s="43" t="s">
        <v>6</v>
      </c>
      <c r="B24" s="11" t="str">
        <f>B5</f>
        <v>JOAN JARA</v>
      </c>
      <c r="C24" s="40" t="s">
        <v>7</v>
      </c>
      <c r="D24" s="41" t="s">
        <v>8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9</v>
      </c>
      <c r="C25" s="55"/>
      <c r="D25" s="41" t="s">
        <v>10</v>
      </c>
      <c r="E25" s="53"/>
      <c r="F25" s="41" t="s">
        <v>11</v>
      </c>
      <c r="G25" s="53"/>
      <c r="H25" s="42" t="s">
        <v>12</v>
      </c>
      <c r="I25" s="53"/>
      <c r="J25" s="41" t="s">
        <v>13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>X</v>
      </c>
      <c r="G26" s="12">
        <f>IF(F26="X",60*0.15,"")</f>
        <v>9</v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11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16</v>
      </c>
      <c r="D28" s="12" t="str">
        <f t="shared" si="7"/>
        <v/>
      </c>
      <c r="E28" s="12" t="str">
        <f>IF(D28="X",100*0.2,"")</f>
        <v/>
      </c>
      <c r="F28" s="12" t="str">
        <f t="shared" si="8"/>
        <v/>
      </c>
      <c r="G28" s="12" t="str">
        <f>IF(F28="X",60*0.2,"")</f>
        <v/>
      </c>
      <c r="H28" s="12" t="str">
        <f t="shared" si="9"/>
        <v>X</v>
      </c>
      <c r="I28" s="12">
        <f>IF(H28="X",30*0.2,"")</f>
        <v>6</v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10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16</v>
      </c>
      <c r="D30" s="12" t="str">
        <f t="shared" si="7"/>
        <v/>
      </c>
      <c r="E30" s="12" t="str">
        <f>IF(D30="X",100*0.05,"")</f>
        <v/>
      </c>
      <c r="F30" s="12" t="str">
        <f t="shared" si="8"/>
        <v/>
      </c>
      <c r="G30" s="12" t="str">
        <f>IF(F30="X",60*0.05,"")</f>
        <v/>
      </c>
      <c r="H30" s="12" t="str">
        <f t="shared" si="9"/>
        <v>X</v>
      </c>
      <c r="I30" s="12">
        <f>IF(H30="X",30*0.05,"")</f>
        <v>1.5</v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10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16</v>
      </c>
      <c r="D32" s="12" t="str">
        <f>IF($C32=CL,"X","")</f>
        <v/>
      </c>
      <c r="E32" s="12" t="str">
        <f>IF(D32="X",100*0.1,"")</f>
        <v/>
      </c>
      <c r="F32" s="12" t="str">
        <f>IF($C32=L,"X","")</f>
        <v/>
      </c>
      <c r="G32" s="12" t="str">
        <f>IF(F32="X",60*0.1,"")</f>
        <v/>
      </c>
      <c r="H32" s="12" t="str">
        <f>IF($C32=ML,"X","")</f>
        <v>X</v>
      </c>
      <c r="I32" s="12">
        <f>IF(H32="X",30*0.1,"")</f>
        <v>3</v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14</v>
      </c>
      <c r="C33" s="22">
        <f>E33+G33+I33+K33</f>
        <v>59.5</v>
      </c>
      <c r="D33" s="13"/>
      <c r="E33" s="13">
        <f>SUM(E26:E32)</f>
        <v>25</v>
      </c>
      <c r="F33" s="13"/>
      <c r="G33" s="13">
        <f>SUM(G26:G32)</f>
        <v>24</v>
      </c>
      <c r="H33" s="13"/>
      <c r="I33" s="13">
        <f>SUM(I26:I32)</f>
        <v>10.5</v>
      </c>
      <c r="J33" s="13"/>
      <c r="K33" s="13">
        <f>SUM(K26:K32)</f>
        <v>0</v>
      </c>
    </row>
    <row r="34" spans="1:11" ht="24" customHeight="1">
      <c r="A34" s="55"/>
      <c r="B34" s="21" t="s">
        <v>15</v>
      </c>
      <c r="C34" s="14">
        <f>VLOOKUP(C33,ESCALA_IEP!A15:B215,2,FALSE)</f>
        <v>4</v>
      </c>
    </row>
    <row r="35" spans="1:11" ht="16.149999999999999" customHeight="1"/>
    <row r="36" spans="1:11" ht="13.9" customHeight="1"/>
    <row r="37" spans="1:11" ht="24" customHeight="1">
      <c r="A37" s="43" t="s">
        <v>6</v>
      </c>
      <c r="B37" s="11">
        <f>B6</f>
        <v>0</v>
      </c>
      <c r="C37" s="40" t="s">
        <v>7</v>
      </c>
      <c r="D37" s="41" t="s">
        <v>8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9</v>
      </c>
      <c r="C38" s="55"/>
      <c r="D38" s="41" t="s">
        <v>10</v>
      </c>
      <c r="E38" s="53"/>
      <c r="F38" s="41" t="s">
        <v>11</v>
      </c>
      <c r="G38" s="53"/>
      <c r="H38" s="42" t="s">
        <v>12</v>
      </c>
      <c r="I38" s="53"/>
      <c r="J38" s="41" t="s">
        <v>13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10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11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11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10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10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14</v>
      </c>
      <c r="C46" s="22">
        <f>E46+G46+I46+K46</f>
        <v>76</v>
      </c>
      <c r="D46" s="13"/>
      <c r="E46" s="13">
        <f>SUM(E39:E45)</f>
        <v>40</v>
      </c>
      <c r="F46" s="13"/>
      <c r="G46" s="13">
        <f>SUM(G39:G45)</f>
        <v>36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15</v>
      </c>
      <c r="C47" s="14">
        <f>VLOOKUP(C46,ESCALA_IEP!A28:B228,2,FALSE)</f>
        <v>5.2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CHRISTOPH BORNHARDT</v>
      </c>
      <c r="C50" s="40" t="s">
        <v>7</v>
      </c>
      <c r="D50" s="41" t="s">
        <v>8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9</v>
      </c>
      <c r="C51" s="55"/>
      <c r="D51" s="41" t="s">
        <v>10</v>
      </c>
      <c r="E51" s="53"/>
      <c r="F51" s="41" t="s">
        <v>11</v>
      </c>
      <c r="G51" s="53"/>
      <c r="H51" s="42" t="s">
        <v>12</v>
      </c>
      <c r="I51" s="53"/>
      <c r="J51" s="41" t="s">
        <v>13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11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11</v>
      </c>
      <c r="D54" s="12" t="str">
        <f t="shared" si="17"/>
        <v/>
      </c>
      <c r="E54" s="12" t="str">
        <f>IF(D54="X",100*0.2,"")</f>
        <v/>
      </c>
      <c r="F54" s="12" t="str">
        <f t="shared" si="18"/>
        <v>X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10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10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14</v>
      </c>
      <c r="C59" s="22">
        <f>E59+G59+I59+K59</f>
        <v>70</v>
      </c>
      <c r="D59" s="13"/>
      <c r="E59" s="13">
        <f>SUM(E52:E58)</f>
        <v>25</v>
      </c>
      <c r="F59" s="13"/>
      <c r="G59" s="13">
        <f>SUM(G52:G58)</f>
        <v>45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55"/>
      <c r="B60" s="21" t="s">
        <v>15</v>
      </c>
      <c r="C60" s="14">
        <f>VLOOKUP(C59,ESCALA_IEP!A41:B241,2,FALSE)</f>
        <v>4.8</v>
      </c>
    </row>
    <row r="61" spans="1:11" ht="15.75" customHeight="1"/>
    <row r="62" spans="1:11" ht="15.75" customHeight="1"/>
    <row r="63" spans="1:11" ht="24" customHeight="1">
      <c r="A63" s="39" t="s">
        <v>18</v>
      </c>
      <c r="B63" s="11" t="str">
        <f>B5</f>
        <v>JOAN JARA</v>
      </c>
      <c r="C63" s="40" t="s">
        <v>7</v>
      </c>
      <c r="D63" s="41" t="s">
        <v>8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9</v>
      </c>
      <c r="C64" s="55"/>
      <c r="D64" s="41" t="s">
        <v>10</v>
      </c>
      <c r="E64" s="53"/>
      <c r="F64" s="41" t="s">
        <v>11</v>
      </c>
      <c r="G64" s="53"/>
      <c r="H64" s="42" t="s">
        <v>12</v>
      </c>
      <c r="I64" s="53"/>
      <c r="J64" s="41" t="s">
        <v>13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11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16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>X</v>
      </c>
      <c r="I67" s="12">
        <f>IF(H67="X",30*0.2,"")</f>
        <v>6</v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10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16</v>
      </c>
      <c r="D69" s="12" t="str">
        <f t="shared" si="22"/>
        <v/>
      </c>
      <c r="E69" s="12" t="str">
        <f>IF(D69="X",100*0.05,"")</f>
        <v/>
      </c>
      <c r="F69" s="12" t="str">
        <f t="shared" si="23"/>
        <v/>
      </c>
      <c r="G69" s="12" t="str">
        <f>IF(F69="X",60*0.05,"")</f>
        <v/>
      </c>
      <c r="H69" s="12" t="str">
        <f t="shared" si="24"/>
        <v>X</v>
      </c>
      <c r="I69" s="12">
        <f>IF(H69="X",30*0.05,"")</f>
        <v>1.5</v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10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14</v>
      </c>
      <c r="C72" s="22">
        <f>E72+G72+I72+K72</f>
        <v>62.5</v>
      </c>
      <c r="D72" s="13"/>
      <c r="E72" s="13">
        <f>SUM(E65:E71)</f>
        <v>25</v>
      </c>
      <c r="F72" s="13"/>
      <c r="G72" s="13">
        <f>SUM(G65:G71)</f>
        <v>30</v>
      </c>
      <c r="H72" s="13"/>
      <c r="I72" s="13">
        <f>SUM(I65:I71)</f>
        <v>7.5</v>
      </c>
      <c r="J72" s="13"/>
      <c r="K72" s="13">
        <f>SUM(K65:K71)</f>
        <v>0</v>
      </c>
    </row>
    <row r="73" spans="1:11" ht="24" customHeight="1">
      <c r="A73" s="55"/>
      <c r="B73" s="21" t="s">
        <v>15</v>
      </c>
      <c r="C73" s="14">
        <f>VLOOKUP(C72,ESCALA_IEP!A54:B254,2,FALSE)</f>
        <v>4.2</v>
      </c>
    </row>
    <row r="74" spans="1:11" ht="15.75" customHeight="1"/>
    <row r="75" spans="1:11" ht="15.75" customHeight="1"/>
    <row r="76" spans="1:11" ht="24" customHeight="1">
      <c r="A76" s="39" t="s">
        <v>19</v>
      </c>
      <c r="B76" s="11">
        <f>B6</f>
        <v>0</v>
      </c>
      <c r="C76" s="40" t="s">
        <v>7</v>
      </c>
      <c r="D76" s="41" t="s">
        <v>8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9</v>
      </c>
      <c r="C77" s="55"/>
      <c r="D77" s="41" t="s">
        <v>10</v>
      </c>
      <c r="E77" s="53"/>
      <c r="F77" s="41" t="s">
        <v>11</v>
      </c>
      <c r="G77" s="53"/>
      <c r="H77" s="42" t="s">
        <v>12</v>
      </c>
      <c r="I77" s="53"/>
      <c r="J77" s="41" t="s">
        <v>13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10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11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7"/>
        <v/>
      </c>
      <c r="E80" s="12" t="str">
        <f>IF(D80="X",100*0.2,"")</f>
        <v/>
      </c>
      <c r="F80" s="12" t="str">
        <f t="shared" si="28"/>
        <v>X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10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10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/>
      </c>
      <c r="E84" s="12" t="str">
        <f>IF(D84="X",100*0.1,"")</f>
        <v/>
      </c>
      <c r="F84" s="12" t="str">
        <f>IF($C84=L,"X","")</f>
        <v>X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14</v>
      </c>
      <c r="C85" s="22">
        <f>E85+G85+I85+K85</f>
        <v>76</v>
      </c>
      <c r="D85" s="13"/>
      <c r="E85" s="13">
        <f>SUM(E78:E84)</f>
        <v>40</v>
      </c>
      <c r="F85" s="13"/>
      <c r="G85" s="13">
        <f>SUM(G78:G84)</f>
        <v>36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5"/>
      <c r="B86" s="21" t="s">
        <v>15</v>
      </c>
      <c r="C86" s="14">
        <f>VLOOKUP(C85,ESCALA_IEP!A67:B267,2,FALSE)</f>
        <v>5.2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20</v>
      </c>
      <c r="B1" s="46" t="s">
        <v>21</v>
      </c>
      <c r="C1" s="47"/>
      <c r="D1" s="47"/>
      <c r="E1" s="48"/>
      <c r="F1" s="44" t="s">
        <v>22</v>
      </c>
    </row>
    <row r="2" spans="1:6">
      <c r="A2" s="45"/>
      <c r="B2" s="49" t="s">
        <v>23</v>
      </c>
      <c r="C2" s="49" t="s">
        <v>24</v>
      </c>
      <c r="D2" s="25" t="s">
        <v>25</v>
      </c>
      <c r="E2" s="26" t="s">
        <v>13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14</v>
      </c>
      <c r="B1" t="s">
        <v>15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14</v>
      </c>
      <c r="B1" t="s">
        <v>15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63</v>
      </c>
      <c r="B1" s="4" t="s">
        <v>14</v>
      </c>
      <c r="C1" s="5"/>
      <c r="D1" s="5"/>
      <c r="E1" s="6"/>
    </row>
    <row r="2" spans="1:5" ht="43.9" thickBot="1">
      <c r="A2" s="57"/>
      <c r="B2" s="7" t="s">
        <v>10</v>
      </c>
      <c r="C2" s="8" t="s">
        <v>11</v>
      </c>
      <c r="D2" s="20" t="s">
        <v>16</v>
      </c>
      <c r="E2" s="38" t="s">
        <v>13</v>
      </c>
    </row>
    <row r="3" spans="1:5" ht="29.45" thickBot="1">
      <c r="A3" s="9" t="s">
        <v>64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Jazna Patricia Meza Hidalgo</cp:lastModifiedBy>
  <cp:revision/>
  <dcterms:created xsi:type="dcterms:W3CDTF">2023-08-07T04:08:01Z</dcterms:created>
  <dcterms:modified xsi:type="dcterms:W3CDTF">2025-12-11T19:00:12Z</dcterms:modified>
  <cp:category/>
  <cp:contentStatus/>
</cp:coreProperties>
</file>